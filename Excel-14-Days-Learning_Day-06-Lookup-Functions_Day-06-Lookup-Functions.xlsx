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7" customWidth="1" min="2" max="2"/>
    <col width="45" customWidth="1" min="3" max="3"/>
    <col width="62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(₹)</t>
        </is>
      </c>
    </row>
    <row r="2">
      <c r="A2" s="2" t="inlineStr">
        <is>
          <t>P101</t>
        </is>
      </c>
      <c r="B2" s="2" t="inlineStr">
        <is>
          <t>MatePad Pro</t>
        </is>
      </c>
      <c r="C2" s="2" t="inlineStr">
        <is>
          <t>Tablet</t>
        </is>
      </c>
      <c r="D2" s="2" t="n">
        <v>45000</v>
      </c>
    </row>
    <row r="3">
      <c r="A3" s="2" t="inlineStr">
        <is>
          <t>P102</t>
        </is>
      </c>
      <c r="B3" s="2" t="inlineStr">
        <is>
          <t>MateBook X</t>
        </is>
      </c>
      <c r="C3" s="2" t="inlineStr">
        <is>
          <t>Laptop</t>
        </is>
      </c>
      <c r="D3" s="2" t="n">
        <v>85000</v>
      </c>
    </row>
    <row r="4">
      <c r="A4" s="2" t="inlineStr">
        <is>
          <t>P103</t>
        </is>
      </c>
      <c r="B4" s="2" t="inlineStr">
        <is>
          <t>Watch GT</t>
        </is>
      </c>
      <c r="C4" s="2" t="inlineStr">
        <is>
          <t>Wearable</t>
        </is>
      </c>
      <c r="D4" s="2" t="n">
        <v>18000</v>
      </c>
    </row>
    <row r="5">
      <c r="A5" s="2" t="inlineStr">
        <is>
          <t>P104</t>
        </is>
      </c>
      <c r="B5" s="2" t="inlineStr">
        <is>
          <t>FreeBuds Pro</t>
        </is>
      </c>
      <c r="C5" s="2" t="inlineStr">
        <is>
          <t>Audio</t>
        </is>
      </c>
      <c r="D5" s="2" t="n">
        <v>12000</v>
      </c>
    </row>
    <row r="6">
      <c r="A6" s="2" t="n"/>
      <c r="B6" s="2" t="n"/>
      <c r="C6" s="2" t="n"/>
      <c r="D6" s="2" t="n"/>
    </row>
    <row r="7">
      <c r="A7" s="2" t="inlineStr">
        <is>
          <t>Search ID</t>
        </is>
      </c>
      <c r="B7" s="2" t="inlineStr">
        <is>
          <t>VLOOKUP Name</t>
        </is>
      </c>
      <c r="C7" s="2" t="inlineStr">
        <is>
          <t>XLOOKUP Price</t>
        </is>
      </c>
      <c r="D7" s="2" t="inlineStr">
        <is>
          <t>INDEX/MATCH Category</t>
        </is>
      </c>
    </row>
    <row r="8">
      <c r="A8" s="2" t="inlineStr">
        <is>
          <t>P102</t>
        </is>
      </c>
      <c r="B8" s="2">
        <f>VLOOKUP(A8, A2:D5, 2, FALSE)</f>
        <v/>
      </c>
      <c r="C8" s="2">
        <f>XLOOKUP(A8, A2:A5, D2:D5, "Not Found")</f>
        <v/>
      </c>
      <c r="D8" s="2">
        <f>INDEX(C2:C5, MATCH(A8, A2:A5, 0))</f>
        <v/>
      </c>
    </row>
    <row r="9">
      <c r="A9" s="2" t="inlineStr">
        <is>
          <t>P104</t>
        </is>
      </c>
      <c r="B9" s="2">
        <f>VLOOKUP(A9, A2:D5, 2, FALSE)</f>
        <v/>
      </c>
      <c r="C9" s="2">
        <f>XLOOKUP(A9, A2:A5, D2:D5, "Not Found")</f>
        <v/>
      </c>
      <c r="D9" s="2">
        <f>INDEX(C2:C5, MATCH(A9, A2:A5, 0))</f>
        <v/>
      </c>
    </row>
    <row r="10">
      <c r="A10" s="2" t="inlineStr">
        <is>
          <t>P999</t>
        </is>
      </c>
      <c r="B10" s="2">
        <f>IFERROR(VLOOKUP(A10, A2:D5, 2, FALSE), "Invalid ID")</f>
        <v/>
      </c>
      <c r="C10" s="2">
        <f>XLOOKUP(A10, A2:A5, D2:D5, "Invalid ID")</f>
        <v/>
      </c>
      <c r="D10" s="2">
        <f>IFERROR(INDEX(C2:C5, MATCH(A10, A2:A5, 0)), "Invalid ID")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